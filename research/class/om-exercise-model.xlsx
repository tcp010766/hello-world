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_Location" sheetId="2" state="visible" r:id="rId4"/>
    <sheet name="B_LandedCost" sheetId="3" state="visible" r:id="rId5"/>
    <sheet name="C_LearningCurve" sheetId="4" state="visible" r:id="rId6"/>
    <sheet name="D_BreakEv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Assumption: duty assessed on ex-works/transaction value; international freight excluded (US practice).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estimated 2025 Malaysian TIV ~814,949 (WapCar/Proton, Jan 2026).</t>
        </r>
      </text>
    </comment>
    <comment ref="B8" authorId="0">
      <text>
        <r>
          <rPr>
            <sz val="10"/>
            <rFont val="Arial"/>
            <family val="2"/>
          </rPr>
          <t xml:space="preserve">Source: Proton International ~6,000 exports in 2025 (WapCar, Jan 2026).</t>
        </r>
      </text>
    </comment>
  </commentList>
</comments>
</file>

<file path=xl/sharedStrings.xml><?xml version="1.0" encoding="utf-8"?>
<sst xmlns="http://schemas.openxmlformats.org/spreadsheetml/2006/main" count="98" uniqueCount="90">
  <si>
    <t xml:space="preserve">OM Exercise Model: China to Malaysia Supply-Chain Shift and the Geely x Proton Case</t>
  </si>
  <si>
    <t xml:space="preserve">Companion to research/om-teaching-note.md (Exercises A-D). All numbers are ILLUSTRATIVE teaching assumptions, not company data.</t>
  </si>
  <si>
    <t xml:space="preserve">Legend</t>
  </si>
  <si>
    <t xml:space="preserve">Blue text on yellow fill = input / assumption. Change these to run scenarios.</t>
  </si>
  <si>
    <t xml:space="preserve">Black text = formula (do not overwrite).</t>
  </si>
  <si>
    <t xml:space="preserve">Sheets</t>
  </si>
  <si>
    <t xml:space="preserve">A_Location - factor-rating model for a battery-cell plant + raw-material-weight sensitivity</t>
  </si>
  <si>
    <t xml:space="preserve">B_LandedCost - US landed cost under tariff scenarios + break-even risk probabilities</t>
  </si>
  <si>
    <t xml:space="preserve">C_LearningCurve - CKD labour-hours learning curve and time to target</t>
  </si>
  <si>
    <t xml:space="preserve">D_BreakEven - AHTV capacity break-even and export gap by domestic share</t>
  </si>
  <si>
    <t xml:space="preserve">Source of assumptions: instructor-set illustrative values (teaching note, Oct 2026). Tariff rates reflect US reciprocal 19% and transhipment 40% (MITI, Aug 2025); AD/CVD 100% is a stylised scenario.</t>
  </si>
  <si>
    <t xml:space="preserve">Exercise A: Factor-rating location model (battery-cell plant serving US/EU)</t>
  </si>
  <si>
    <t xml:space="preserve">Factor</t>
  </si>
  <si>
    <t xml:space="preserve">Weight</t>
  </si>
  <si>
    <t xml:space="preserve">Malaysia</t>
  </si>
  <si>
    <t xml:space="preserve">Vietnam</t>
  </si>
  <si>
    <t xml:space="preserve">Thailand</t>
  </si>
  <si>
    <t xml:space="preserve">Indonesia</t>
  </si>
  <si>
    <t xml:space="preserve">Labour cost</t>
  </si>
  <si>
    <t xml:space="preserve">Skilled technicians</t>
  </si>
  <si>
    <t xml:space="preserve">Power cost &amp; reliability</t>
  </si>
  <si>
    <t xml:space="preserve">Tariff &amp; origin exposure to US</t>
  </si>
  <si>
    <t xml:space="preserve">Supplier ecosystem</t>
  </si>
  <si>
    <t xml:space="preserve">Political neutrality</t>
  </si>
  <si>
    <t xml:space="preserve">Raw materials (nickel)</t>
  </si>
  <si>
    <t xml:space="preserve">Sum of weights (must = 1.00)</t>
  </si>
  <si>
    <t xml:space="preserve">Weighted score</t>
  </si>
  <si>
    <t xml:space="preserve">Rank (1 = best)</t>
  </si>
  <si>
    <t xml:space="preserve">Sensitivity: vary raw-material weight; the removed (or added) weight moves to/from the tariff row so weights still sum to 1</t>
  </si>
  <si>
    <t xml:space="preserve">Raw-material weight</t>
  </si>
  <si>
    <t xml:space="preserve">Tariff weight</t>
  </si>
  <si>
    <t xml:space="preserve">Leader</t>
  </si>
  <si>
    <t xml:space="preserve">Crossover raw-material weight where Malaysia = Indonesia</t>
  </si>
  <si>
    <t xml:space="preserve">Interpretation: below this raw-material weight (e.g. LFP chemistry, no nickel) Malaysia leads; above it, nickel-rich Indonesia leads. Tariff weight alone cannot separate Malaysia and Indonesia because both score 6 on that row.</t>
  </si>
  <si>
    <t xml:space="preserve">Exercise B: US landed cost of a Malaysian-made battery module (US$/unit)</t>
  </si>
  <si>
    <t xml:space="preserve">Input</t>
  </si>
  <si>
    <t xml:space="preserve">Value</t>
  </si>
  <si>
    <t xml:space="preserve">Ex-works cost (customs value)</t>
  </si>
  <si>
    <t xml:space="preserve">Ocean freight &amp; insurance (not dutiable)</t>
  </si>
  <si>
    <t xml:space="preserve">US reciprocal tariff</t>
  </si>
  <si>
    <t xml:space="preserve">Transhipment penalty rate (replaces reciprocal)</t>
  </si>
  <si>
    <t xml:space="preserve">AD/CVD rate (stacked on reciprocal)</t>
  </si>
  <si>
    <t xml:space="preserve">Extra cost to localise inputs to 50%</t>
  </si>
  <si>
    <t xml:space="preserve">Scenario</t>
  </si>
  <si>
    <t xml:space="preserve">Customs value</t>
  </si>
  <si>
    <t xml:space="preserve">Freight</t>
  </si>
  <si>
    <t xml:space="preserve">Duty</t>
  </si>
  <si>
    <t xml:space="preserve">Landed cost</t>
  </si>
  <si>
    <t xml:space="preserve">1. Reciprocal 19%</t>
  </si>
  <si>
    <t xml:space="preserve">2. Transhipment finding 40%</t>
  </si>
  <si>
    <t xml:space="preserve">3. AD/CVD 100% + reciprocal 19%</t>
  </si>
  <si>
    <t xml:space="preserve">4. Localise to 50% (origin secured, 19%)</t>
  </si>
  <si>
    <t xml:space="preserve">Break-even probabilities (localise if risk exceeds these)</t>
  </si>
  <si>
    <t xml:space="preserve">p* = P(transhipment finding) making localisation worthwhile</t>
  </si>
  <si>
    <t xml:space="preserve">q* = P(AD/CVD order) making localisation worthwhile</t>
  </si>
  <si>
    <t xml:space="preserve">Expected landed cost vs risk probability</t>
  </si>
  <si>
    <t xml:space="preserve">Probability</t>
  </si>
  <si>
    <t xml:space="preserve">E[cost] not localised, risk = transhipment</t>
  </si>
  <si>
    <t xml:space="preserve">E[cost] not localised, risk = AD/CVD</t>
  </si>
  <si>
    <t xml:space="preserve">Localised cost</t>
  </si>
  <si>
    <t xml:space="preserve">Exercise C: CKD assembly learning curve at Tanjung Malim</t>
  </si>
  <si>
    <t xml:space="preserve">Labour-hours for unit 1</t>
  </si>
  <si>
    <t xml:space="preserve">Learning rate</t>
  </si>
  <si>
    <t xml:space="preserve">Target hours per vehicle</t>
  </si>
  <si>
    <t xml:space="preserve">Phase-1 output (vehicles/year)</t>
  </si>
  <si>
    <t xml:space="preserve">Learning exponent b = LN(rate)/LN(2)</t>
  </si>
  <si>
    <t xml:space="preserve">Unit at which target is reached</t>
  </si>
  <si>
    <t xml:space="preserve">Months to reach target at phase-1 rate</t>
  </si>
  <si>
    <t xml:space="preserve">Hours at unit 1,000</t>
  </si>
  <si>
    <t xml:space="preserve">Hours at unit 10,000</t>
  </si>
  <si>
    <t xml:space="preserve">Cumulative unit n</t>
  </si>
  <si>
    <t xml:space="preserve">Hours for unit n</t>
  </si>
  <si>
    <t xml:space="preserve">Meets target?</t>
  </si>
  <si>
    <t xml:space="preserve">Interpretation: the plant hits 30 h in under 2 months at phase-1 rate, so worker learning is not the binding constraint; supplier localisation and local content are.</t>
  </si>
  <si>
    <t xml:space="preserve">Exercise D: AHTV capacity break-even and the export gap</t>
  </si>
  <si>
    <t xml:space="preserve">Fixed cost per year (RM)</t>
  </si>
  <si>
    <t xml:space="preserve">Contribution margin per vehicle (RM)</t>
  </si>
  <si>
    <t xml:space="preserve">Capacity (vehicles/year)</t>
  </si>
  <si>
    <t xml:space="preserve">Malaysia total industry volume (vehicles/year)</t>
  </si>
  <si>
    <t xml:space="preserve">2025 Proton exports (vehicles)</t>
  </si>
  <si>
    <t xml:space="preserve">Base-case domestic Geely-group share</t>
  </si>
  <si>
    <t xml:space="preserve">Break-even volume</t>
  </si>
  <si>
    <t xml:space="preserve">Break-even utilisation</t>
  </si>
  <si>
    <t xml:space="preserve">Base-case domestic volume</t>
  </si>
  <si>
    <t xml:space="preserve">Base-case exports needed</t>
  </si>
  <si>
    <t xml:space="preserve">Multiple of 2025 exports</t>
  </si>
  <si>
    <t xml:space="preserve">Domestic share</t>
  </si>
  <si>
    <t xml:space="preserve">Domestic volume</t>
  </si>
  <si>
    <t xml:space="preserve">Exports needed</t>
  </si>
  <si>
    <t xml:space="preserve">x 2025 exports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</si>
</sst>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.000"/>
    <numFmt numFmtId="168" formatCode="\$#,##0.00"/>
    <numFmt numFmtId="169" formatCode="0.0%"/>
    <numFmt numFmtId="170" formatCode="0%"/>
    <numFmt numFmtId="171" formatCode="0.0"/>
    <numFmt numFmtId="172" formatCode="#,##0"/>
    <numFmt numFmtId="173" formatCode="0.0000"/>
    <numFmt numFmtId="174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customFormat="false" ht="15" hidden="false" customHeight="false" outlineLevel="0" collapsed="false">
      <c r="A4" s="6" t="s">
        <v>18</v>
      </c>
      <c r="B4" s="7" t="n">
        <v>0.1</v>
      </c>
      <c r="C4" s="8" t="n">
        <v>6</v>
      </c>
      <c r="D4" s="8" t="n">
        <v>8</v>
      </c>
      <c r="E4" s="8" t="n">
        <v>6</v>
      </c>
      <c r="F4" s="8" t="n">
        <v>8</v>
      </c>
    </row>
    <row r="5" customFormat="false" ht="15" hidden="false" customHeight="false" outlineLevel="0" collapsed="false">
      <c r="A5" s="6" t="s">
        <v>19</v>
      </c>
      <c r="B5" s="7" t="n">
        <v>0.15</v>
      </c>
      <c r="C5" s="8" t="n">
        <v>8</v>
      </c>
      <c r="D5" s="8" t="n">
        <v>6</v>
      </c>
      <c r="E5" s="8" t="n">
        <v>7</v>
      </c>
      <c r="F5" s="8" t="n">
        <v>5</v>
      </c>
    </row>
    <row r="6" customFormat="false" ht="15" hidden="false" customHeight="false" outlineLevel="0" collapsed="false">
      <c r="A6" s="6" t="s">
        <v>20</v>
      </c>
      <c r="B6" s="7" t="n">
        <v>0.15</v>
      </c>
      <c r="C6" s="8" t="n">
        <v>7</v>
      </c>
      <c r="D6" s="8" t="n">
        <v>5</v>
      </c>
      <c r="E6" s="8" t="n">
        <v>7</v>
      </c>
      <c r="F6" s="8" t="n">
        <v>6</v>
      </c>
    </row>
    <row r="7" customFormat="false" ht="15" hidden="false" customHeight="false" outlineLevel="0" collapsed="false">
      <c r="A7" s="6" t="s">
        <v>21</v>
      </c>
      <c r="B7" s="7" t="n">
        <v>0.2</v>
      </c>
      <c r="C7" s="8" t="n">
        <v>6</v>
      </c>
      <c r="D7" s="8" t="n">
        <v>4</v>
      </c>
      <c r="E7" s="8" t="n">
        <v>5</v>
      </c>
      <c r="F7" s="8" t="n">
        <v>6</v>
      </c>
    </row>
    <row r="8" customFormat="false" ht="15" hidden="false" customHeight="false" outlineLevel="0" collapsed="false">
      <c r="A8" s="6" t="s">
        <v>22</v>
      </c>
      <c r="B8" s="7" t="n">
        <v>0.15</v>
      </c>
      <c r="C8" s="8" t="n">
        <v>7</v>
      </c>
      <c r="D8" s="8" t="n">
        <v>6</v>
      </c>
      <c r="E8" s="8" t="n">
        <v>7</v>
      </c>
      <c r="F8" s="8" t="n">
        <v>6</v>
      </c>
    </row>
    <row r="9" customFormat="false" ht="15" hidden="false" customHeight="false" outlineLevel="0" collapsed="false">
      <c r="A9" s="6" t="s">
        <v>23</v>
      </c>
      <c r="B9" s="7" t="n">
        <v>0.1</v>
      </c>
      <c r="C9" s="8" t="n">
        <v>8</v>
      </c>
      <c r="D9" s="8" t="n">
        <v>6</v>
      </c>
      <c r="E9" s="8" t="n">
        <v>7</v>
      </c>
      <c r="F9" s="8" t="n">
        <v>7</v>
      </c>
    </row>
    <row r="10" customFormat="false" ht="15" hidden="false" customHeight="false" outlineLevel="0" collapsed="false">
      <c r="A10" s="6" t="s">
        <v>24</v>
      </c>
      <c r="B10" s="7" t="n">
        <v>0.15</v>
      </c>
      <c r="C10" s="8" t="n">
        <v>3</v>
      </c>
      <c r="D10" s="8" t="n">
        <v>3</v>
      </c>
      <c r="E10" s="8" t="n">
        <v>3</v>
      </c>
      <c r="F10" s="8" t="n">
        <v>10</v>
      </c>
    </row>
    <row r="11" customFormat="false" ht="15" hidden="false" customHeight="false" outlineLevel="0" collapsed="false">
      <c r="A11" s="3" t="s">
        <v>25</v>
      </c>
      <c r="B11" s="9" t="n">
        <f aca="false">SUM(B4:B10)</f>
        <v>1</v>
      </c>
    </row>
    <row r="12" customFormat="false" ht="15" hidden="false" customHeight="false" outlineLevel="0" collapsed="false">
      <c r="A12" s="3" t="s">
        <v>26</v>
      </c>
      <c r="C12" s="9" t="n">
        <f aca="false">SUMPRODUCT($B$4:$B$10,C4:C10)</f>
        <v>6.35</v>
      </c>
      <c r="D12" s="9" t="n">
        <f aca="false">SUMPRODUCT($B$4:$B$10,D4:D10)</f>
        <v>5.2</v>
      </c>
      <c r="E12" s="9" t="n">
        <f aca="false">SUMPRODUCT($B$4:$B$10,E4:E10)</f>
        <v>5.9</v>
      </c>
      <c r="F12" s="9" t="n">
        <f aca="false">SUMPRODUCT($B$4:$B$10,F4:F10)</f>
        <v>6.75</v>
      </c>
    </row>
    <row r="13" customFormat="false" ht="15" hidden="false" customHeight="false" outlineLevel="0" collapsed="false">
      <c r="A13" s="3" t="s">
        <v>27</v>
      </c>
      <c r="C13" s="10" t="n">
        <f aca="false">RANK(C12,$C$12:$F$12)</f>
        <v>2</v>
      </c>
      <c r="D13" s="10" t="n">
        <f aca="false">RANK(D12,$C$12:$F$12)</f>
        <v>4</v>
      </c>
      <c r="E13" s="10" t="n">
        <f aca="false">RANK(E12,$C$12:$F$12)</f>
        <v>3</v>
      </c>
      <c r="F13" s="10" t="n">
        <f aca="false">RANK(F12,$C$12:$F$12)</f>
        <v>1</v>
      </c>
    </row>
    <row r="15" customFormat="false" ht="15" hidden="false" customHeight="false" outlineLevel="0" collapsed="false">
      <c r="A15" s="3" t="s">
        <v>28</v>
      </c>
    </row>
    <row r="16" customFormat="false" ht="15" hidden="false" customHeight="false" outlineLevel="0" collapsed="false">
      <c r="A16" s="5" t="s">
        <v>29</v>
      </c>
      <c r="B16" s="5" t="s">
        <v>30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31</v>
      </c>
    </row>
    <row r="17" customFormat="false" ht="15" hidden="false" customHeight="false" outlineLevel="0" collapsed="false">
      <c r="A17" s="7" t="n">
        <v>0</v>
      </c>
      <c r="B17" s="11" t="n">
        <f aca="false">$B$7+($B$10-A17)</f>
        <v>0.35</v>
      </c>
      <c r="C17" s="11" t="n">
        <f aca="false">C$12+($A17-$B$10)*C$10+($B$10-$A17)*C$7</f>
        <v>6.8</v>
      </c>
      <c r="D17" s="11" t="n">
        <f aca="false">D$12+($A17-$B$10)*D$10+($B$10-$A17)*D$7</f>
        <v>5.35</v>
      </c>
      <c r="E17" s="11" t="n">
        <f aca="false">E$12+($A17-$B$10)*E$10+($B$10-$A17)*E$7</f>
        <v>6.2</v>
      </c>
      <c r="F17" s="11" t="n">
        <f aca="false">F$12+($A17-$B$10)*F$10+($B$10-$A17)*F$7</f>
        <v>6.15</v>
      </c>
      <c r="G17" s="6" t="str">
        <f aca="false">INDEX($C$3:$F$3,MATCH(MAX(C17:F17),C17:F17,0))</f>
        <v>Malaysia</v>
      </c>
    </row>
    <row r="18" customFormat="false" ht="15" hidden="false" customHeight="false" outlineLevel="0" collapsed="false">
      <c r="A18" s="7" t="n">
        <v>0.01</v>
      </c>
      <c r="B18" s="11" t="n">
        <f aca="false">$B$7+($B$10-A18)</f>
        <v>0.34</v>
      </c>
      <c r="C18" s="11" t="n">
        <f aca="false">C$12+($A18-$B$10)*C$10+($B$10-$A18)*C$7</f>
        <v>6.77</v>
      </c>
      <c r="D18" s="11" t="n">
        <f aca="false">D$12+($A18-$B$10)*D$10+($B$10-$A18)*D$7</f>
        <v>5.34</v>
      </c>
      <c r="E18" s="11" t="n">
        <f aca="false">E$12+($A18-$B$10)*E$10+($B$10-$A18)*E$7</f>
        <v>6.18</v>
      </c>
      <c r="F18" s="11" t="n">
        <f aca="false">F$12+($A18-$B$10)*F$10+($B$10-$A18)*F$7</f>
        <v>6.19</v>
      </c>
      <c r="G18" s="6" t="str">
        <f aca="false">INDEX($C$3:$F$3,MATCH(MAX(C18:F18),C18:F18,0))</f>
        <v>Malaysia</v>
      </c>
    </row>
    <row r="19" customFormat="false" ht="15" hidden="false" customHeight="false" outlineLevel="0" collapsed="false">
      <c r="A19" s="7" t="n">
        <v>0.02</v>
      </c>
      <c r="B19" s="11" t="n">
        <f aca="false">$B$7+($B$10-A19)</f>
        <v>0.33</v>
      </c>
      <c r="C19" s="11" t="n">
        <f aca="false">C$12+($A19-$B$10)*C$10+($B$10-$A19)*C$7</f>
        <v>6.74</v>
      </c>
      <c r="D19" s="11" t="n">
        <f aca="false">D$12+($A19-$B$10)*D$10+($B$10-$A19)*D$7</f>
        <v>5.33</v>
      </c>
      <c r="E19" s="11" t="n">
        <f aca="false">E$12+($A19-$B$10)*E$10+($B$10-$A19)*E$7</f>
        <v>6.16</v>
      </c>
      <c r="F19" s="11" t="n">
        <f aca="false">F$12+($A19-$B$10)*F$10+($B$10-$A19)*F$7</f>
        <v>6.23</v>
      </c>
      <c r="G19" s="6" t="str">
        <f aca="false">INDEX($C$3:$F$3,MATCH(MAX(C19:F19),C19:F19,0))</f>
        <v>Malaysia</v>
      </c>
    </row>
    <row r="20" customFormat="false" ht="15" hidden="false" customHeight="false" outlineLevel="0" collapsed="false">
      <c r="A20" s="7" t="n">
        <v>0.03</v>
      </c>
      <c r="B20" s="11" t="n">
        <f aca="false">$B$7+($B$10-A20)</f>
        <v>0.32</v>
      </c>
      <c r="C20" s="11" t="n">
        <f aca="false">C$12+($A20-$B$10)*C$10+($B$10-$A20)*C$7</f>
        <v>6.71</v>
      </c>
      <c r="D20" s="11" t="n">
        <f aca="false">D$12+($A20-$B$10)*D$10+($B$10-$A20)*D$7</f>
        <v>5.32</v>
      </c>
      <c r="E20" s="11" t="n">
        <f aca="false">E$12+($A20-$B$10)*E$10+($B$10-$A20)*E$7</f>
        <v>6.14</v>
      </c>
      <c r="F20" s="11" t="n">
        <f aca="false">F$12+($A20-$B$10)*F$10+($B$10-$A20)*F$7</f>
        <v>6.27</v>
      </c>
      <c r="G20" s="6" t="str">
        <f aca="false">INDEX($C$3:$F$3,MATCH(MAX(C20:F20),C20:F20,0))</f>
        <v>Malaysia</v>
      </c>
    </row>
    <row r="21" customFormat="false" ht="15" hidden="false" customHeight="false" outlineLevel="0" collapsed="false">
      <c r="A21" s="7" t="n">
        <v>0.04</v>
      </c>
      <c r="B21" s="11" t="n">
        <f aca="false">$B$7+($B$10-A21)</f>
        <v>0.31</v>
      </c>
      <c r="C21" s="11" t="n">
        <f aca="false">C$12+($A21-$B$10)*C$10+($B$10-$A21)*C$7</f>
        <v>6.68</v>
      </c>
      <c r="D21" s="11" t="n">
        <f aca="false">D$12+($A21-$B$10)*D$10+($B$10-$A21)*D$7</f>
        <v>5.31</v>
      </c>
      <c r="E21" s="11" t="n">
        <f aca="false">E$12+($A21-$B$10)*E$10+($B$10-$A21)*E$7</f>
        <v>6.12</v>
      </c>
      <c r="F21" s="11" t="n">
        <f aca="false">F$12+($A21-$B$10)*F$10+($B$10-$A21)*F$7</f>
        <v>6.31</v>
      </c>
      <c r="G21" s="6" t="str">
        <f aca="false">INDEX($C$3:$F$3,MATCH(MAX(C21:F21),C21:F21,0))</f>
        <v>Malaysia</v>
      </c>
    </row>
    <row r="22" customFormat="false" ht="15" hidden="false" customHeight="false" outlineLevel="0" collapsed="false">
      <c r="A22" s="7" t="n">
        <v>0.05</v>
      </c>
      <c r="B22" s="11" t="n">
        <f aca="false">$B$7+($B$10-A22)</f>
        <v>0.3</v>
      </c>
      <c r="C22" s="11" t="n">
        <f aca="false">C$12+($A22-$B$10)*C$10+($B$10-$A22)*C$7</f>
        <v>6.65</v>
      </c>
      <c r="D22" s="11" t="n">
        <f aca="false">D$12+($A22-$B$10)*D$10+($B$10-$A22)*D$7</f>
        <v>5.3</v>
      </c>
      <c r="E22" s="11" t="n">
        <f aca="false">E$12+($A22-$B$10)*E$10+($B$10-$A22)*E$7</f>
        <v>6.1</v>
      </c>
      <c r="F22" s="11" t="n">
        <f aca="false">F$12+($A22-$B$10)*F$10+($B$10-$A22)*F$7</f>
        <v>6.35</v>
      </c>
      <c r="G22" s="6" t="str">
        <f aca="false">INDEX($C$3:$F$3,MATCH(MAX(C22:F22),C22:F22,0))</f>
        <v>Malaysia</v>
      </c>
    </row>
    <row r="23" customFormat="false" ht="15" hidden="false" customHeight="false" outlineLevel="0" collapsed="false">
      <c r="A23" s="7" t="n">
        <v>0.06</v>
      </c>
      <c r="B23" s="11" t="n">
        <f aca="false">$B$7+($B$10-A23)</f>
        <v>0.29</v>
      </c>
      <c r="C23" s="11" t="n">
        <f aca="false">C$12+($A23-$B$10)*C$10+($B$10-$A23)*C$7</f>
        <v>6.62</v>
      </c>
      <c r="D23" s="11" t="n">
        <f aca="false">D$12+($A23-$B$10)*D$10+($B$10-$A23)*D$7</f>
        <v>5.29</v>
      </c>
      <c r="E23" s="11" t="n">
        <f aca="false">E$12+($A23-$B$10)*E$10+($B$10-$A23)*E$7</f>
        <v>6.08</v>
      </c>
      <c r="F23" s="11" t="n">
        <f aca="false">F$12+($A23-$B$10)*F$10+($B$10-$A23)*F$7</f>
        <v>6.39</v>
      </c>
      <c r="G23" s="6" t="str">
        <f aca="false">INDEX($C$3:$F$3,MATCH(MAX(C23:F23),C23:F23,0))</f>
        <v>Malaysia</v>
      </c>
    </row>
    <row r="24" customFormat="false" ht="15" hidden="false" customHeight="false" outlineLevel="0" collapsed="false">
      <c r="A24" s="7" t="n">
        <v>0.07</v>
      </c>
      <c r="B24" s="11" t="n">
        <f aca="false">$B$7+($B$10-A24)</f>
        <v>0.28</v>
      </c>
      <c r="C24" s="11" t="n">
        <f aca="false">C$12+($A24-$B$10)*C$10+($B$10-$A24)*C$7</f>
        <v>6.59</v>
      </c>
      <c r="D24" s="11" t="n">
        <f aca="false">D$12+($A24-$B$10)*D$10+($B$10-$A24)*D$7</f>
        <v>5.28</v>
      </c>
      <c r="E24" s="11" t="n">
        <f aca="false">E$12+($A24-$B$10)*E$10+($B$10-$A24)*E$7</f>
        <v>6.06</v>
      </c>
      <c r="F24" s="11" t="n">
        <f aca="false">F$12+($A24-$B$10)*F$10+($B$10-$A24)*F$7</f>
        <v>6.43</v>
      </c>
      <c r="G24" s="6" t="str">
        <f aca="false">INDEX($C$3:$F$3,MATCH(MAX(C24:F24),C24:F24,0))</f>
        <v>Malaysia</v>
      </c>
    </row>
    <row r="25" customFormat="false" ht="15" hidden="false" customHeight="false" outlineLevel="0" collapsed="false">
      <c r="A25" s="7" t="n">
        <v>0.08</v>
      </c>
      <c r="B25" s="11" t="n">
        <f aca="false">$B$7+($B$10-A25)</f>
        <v>0.27</v>
      </c>
      <c r="C25" s="11" t="n">
        <f aca="false">C$12+($A25-$B$10)*C$10+($B$10-$A25)*C$7</f>
        <v>6.56</v>
      </c>
      <c r="D25" s="11" t="n">
        <f aca="false">D$12+($A25-$B$10)*D$10+($B$10-$A25)*D$7</f>
        <v>5.27</v>
      </c>
      <c r="E25" s="11" t="n">
        <f aca="false">E$12+($A25-$B$10)*E$10+($B$10-$A25)*E$7</f>
        <v>6.04</v>
      </c>
      <c r="F25" s="11" t="n">
        <f aca="false">F$12+($A25-$B$10)*F$10+($B$10-$A25)*F$7</f>
        <v>6.47</v>
      </c>
      <c r="G25" s="6" t="str">
        <f aca="false">INDEX($C$3:$F$3,MATCH(MAX(C25:F25),C25:F25,0))</f>
        <v>Malaysia</v>
      </c>
    </row>
    <row r="26" customFormat="false" ht="15" hidden="false" customHeight="false" outlineLevel="0" collapsed="false">
      <c r="A26" s="7" t="n">
        <v>0.09</v>
      </c>
      <c r="B26" s="11" t="n">
        <f aca="false">$B$7+($B$10-A26)</f>
        <v>0.26</v>
      </c>
      <c r="C26" s="11" t="n">
        <f aca="false">C$12+($A26-$B$10)*C$10+($B$10-$A26)*C$7</f>
        <v>6.53</v>
      </c>
      <c r="D26" s="11" t="n">
        <f aca="false">D$12+($A26-$B$10)*D$10+($B$10-$A26)*D$7</f>
        <v>5.26</v>
      </c>
      <c r="E26" s="11" t="n">
        <f aca="false">E$12+($A26-$B$10)*E$10+($B$10-$A26)*E$7</f>
        <v>6.02</v>
      </c>
      <c r="F26" s="11" t="n">
        <f aca="false">F$12+($A26-$B$10)*F$10+($B$10-$A26)*F$7</f>
        <v>6.51</v>
      </c>
      <c r="G26" s="6" t="str">
        <f aca="false">INDEX($C$3:$F$3,MATCH(MAX(C26:F26),C26:F26,0))</f>
        <v>Malaysia</v>
      </c>
    </row>
    <row r="27" customFormat="false" ht="15" hidden="false" customHeight="false" outlineLevel="0" collapsed="false">
      <c r="A27" s="7" t="n">
        <v>0.1</v>
      </c>
      <c r="B27" s="11" t="n">
        <f aca="false">$B$7+($B$10-A27)</f>
        <v>0.25</v>
      </c>
      <c r="C27" s="11" t="n">
        <f aca="false">C$12+($A27-$B$10)*C$10+($B$10-$A27)*C$7</f>
        <v>6.5</v>
      </c>
      <c r="D27" s="11" t="n">
        <f aca="false">D$12+($A27-$B$10)*D$10+($B$10-$A27)*D$7</f>
        <v>5.25</v>
      </c>
      <c r="E27" s="11" t="n">
        <f aca="false">E$12+($A27-$B$10)*E$10+($B$10-$A27)*E$7</f>
        <v>6</v>
      </c>
      <c r="F27" s="11" t="n">
        <f aca="false">F$12+($A27-$B$10)*F$10+($B$10-$A27)*F$7</f>
        <v>6.55</v>
      </c>
      <c r="G27" s="6" t="str">
        <f aca="false">INDEX($C$3:$F$3,MATCH(MAX(C27:F27),C27:F27,0))</f>
        <v>Indonesia</v>
      </c>
    </row>
    <row r="28" customFormat="false" ht="15" hidden="false" customHeight="false" outlineLevel="0" collapsed="false">
      <c r="A28" s="7" t="n">
        <v>0.11</v>
      </c>
      <c r="B28" s="11" t="n">
        <f aca="false">$B$7+($B$10-A28)</f>
        <v>0.24</v>
      </c>
      <c r="C28" s="11" t="n">
        <f aca="false">C$12+($A28-$B$10)*C$10+($B$10-$A28)*C$7</f>
        <v>6.47</v>
      </c>
      <c r="D28" s="11" t="n">
        <f aca="false">D$12+($A28-$B$10)*D$10+($B$10-$A28)*D$7</f>
        <v>5.24</v>
      </c>
      <c r="E28" s="11" t="n">
        <f aca="false">E$12+($A28-$B$10)*E$10+($B$10-$A28)*E$7</f>
        <v>5.98</v>
      </c>
      <c r="F28" s="11" t="n">
        <f aca="false">F$12+($A28-$B$10)*F$10+($B$10-$A28)*F$7</f>
        <v>6.59</v>
      </c>
      <c r="G28" s="6" t="str">
        <f aca="false">INDEX($C$3:$F$3,MATCH(MAX(C28:F28),C28:F28,0))</f>
        <v>Indonesia</v>
      </c>
    </row>
    <row r="29" customFormat="false" ht="15" hidden="false" customHeight="false" outlineLevel="0" collapsed="false">
      <c r="A29" s="7" t="n">
        <v>0.12</v>
      </c>
      <c r="B29" s="11" t="n">
        <f aca="false">$B$7+($B$10-A29)</f>
        <v>0.23</v>
      </c>
      <c r="C29" s="11" t="n">
        <f aca="false">C$12+($A29-$B$10)*C$10+($B$10-$A29)*C$7</f>
        <v>6.44</v>
      </c>
      <c r="D29" s="11" t="n">
        <f aca="false">D$12+($A29-$B$10)*D$10+($B$10-$A29)*D$7</f>
        <v>5.23</v>
      </c>
      <c r="E29" s="11" t="n">
        <f aca="false">E$12+($A29-$B$10)*E$10+($B$10-$A29)*E$7</f>
        <v>5.96</v>
      </c>
      <c r="F29" s="11" t="n">
        <f aca="false">F$12+($A29-$B$10)*F$10+($B$10-$A29)*F$7</f>
        <v>6.63</v>
      </c>
      <c r="G29" s="6" t="str">
        <f aca="false">INDEX($C$3:$F$3,MATCH(MAX(C29:F29),C29:F29,0))</f>
        <v>Indonesia</v>
      </c>
    </row>
    <row r="30" customFormat="false" ht="15" hidden="false" customHeight="false" outlineLevel="0" collapsed="false">
      <c r="A30" s="7" t="n">
        <v>0.13</v>
      </c>
      <c r="B30" s="11" t="n">
        <f aca="false">$B$7+($B$10-A30)</f>
        <v>0.22</v>
      </c>
      <c r="C30" s="11" t="n">
        <f aca="false">C$12+($A30-$B$10)*C$10+($B$10-$A30)*C$7</f>
        <v>6.41</v>
      </c>
      <c r="D30" s="11" t="n">
        <f aca="false">D$12+($A30-$B$10)*D$10+($B$10-$A30)*D$7</f>
        <v>5.22</v>
      </c>
      <c r="E30" s="11" t="n">
        <f aca="false">E$12+($A30-$B$10)*E$10+($B$10-$A30)*E$7</f>
        <v>5.94</v>
      </c>
      <c r="F30" s="11" t="n">
        <f aca="false">F$12+($A30-$B$10)*F$10+($B$10-$A30)*F$7</f>
        <v>6.67</v>
      </c>
      <c r="G30" s="6" t="str">
        <f aca="false">INDEX($C$3:$F$3,MATCH(MAX(C30:F30),C30:F30,0))</f>
        <v>Indonesia</v>
      </c>
    </row>
    <row r="31" customFormat="false" ht="15" hidden="false" customHeight="false" outlineLevel="0" collapsed="false">
      <c r="A31" s="7" t="n">
        <v>0.14</v>
      </c>
      <c r="B31" s="11" t="n">
        <f aca="false">$B$7+($B$10-A31)</f>
        <v>0.21</v>
      </c>
      <c r="C31" s="11" t="n">
        <f aca="false">C$12+($A31-$B$10)*C$10+($B$10-$A31)*C$7</f>
        <v>6.38</v>
      </c>
      <c r="D31" s="11" t="n">
        <f aca="false">D$12+($A31-$B$10)*D$10+($B$10-$A31)*D$7</f>
        <v>5.21</v>
      </c>
      <c r="E31" s="11" t="n">
        <f aca="false">E$12+($A31-$B$10)*E$10+($B$10-$A31)*E$7</f>
        <v>5.92</v>
      </c>
      <c r="F31" s="11" t="n">
        <f aca="false">F$12+($A31-$B$10)*F$10+($B$10-$A31)*F$7</f>
        <v>6.71</v>
      </c>
      <c r="G31" s="6" t="str">
        <f aca="false">INDEX($C$3:$F$3,MATCH(MAX(C31:F31),C31:F31,0))</f>
        <v>Indonesia</v>
      </c>
    </row>
    <row r="32" customFormat="false" ht="15" hidden="false" customHeight="false" outlineLevel="0" collapsed="false">
      <c r="A32" s="7" t="n">
        <v>0.15</v>
      </c>
      <c r="B32" s="11" t="n">
        <f aca="false">$B$7+($B$10-A32)</f>
        <v>0.2</v>
      </c>
      <c r="C32" s="11" t="n">
        <f aca="false">C$12+($A32-$B$10)*C$10+($B$10-$A32)*C$7</f>
        <v>6.35</v>
      </c>
      <c r="D32" s="11" t="n">
        <f aca="false">D$12+($A32-$B$10)*D$10+($B$10-$A32)*D$7</f>
        <v>5.2</v>
      </c>
      <c r="E32" s="11" t="n">
        <f aca="false">E$12+($A32-$B$10)*E$10+($B$10-$A32)*E$7</f>
        <v>5.9</v>
      </c>
      <c r="F32" s="11" t="n">
        <f aca="false">F$12+($A32-$B$10)*F$10+($B$10-$A32)*F$7</f>
        <v>6.75</v>
      </c>
      <c r="G32" s="6" t="str">
        <f aca="false">INDEX($C$3:$F$3,MATCH(MAX(C32:F32),C32:F32,0))</f>
        <v>Indonesia</v>
      </c>
    </row>
    <row r="34" customFormat="false" ht="15" hidden="false" customHeight="false" outlineLevel="0" collapsed="false">
      <c r="A34" s="3" t="s">
        <v>32</v>
      </c>
      <c r="B34" s="12" t="n">
        <f aca="false">$B$10-(C12-F12)/((C10-F10)-(C7-F7))</f>
        <v>0.0928571428571429</v>
      </c>
    </row>
    <row r="35" customFormat="false" ht="15" hidden="false" customHeight="false" outlineLevel="0" collapsed="false">
      <c r="A35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34</v>
      </c>
    </row>
    <row r="3" customFormat="false" ht="15" hidden="false" customHeight="false" outlineLevel="0" collapsed="false">
      <c r="A3" s="5" t="s">
        <v>35</v>
      </c>
      <c r="B3" s="5" t="s">
        <v>36</v>
      </c>
    </row>
    <row r="4" customFormat="false" ht="15" hidden="false" customHeight="false" outlineLevel="0" collapsed="false">
      <c r="A4" s="6" t="s">
        <v>37</v>
      </c>
      <c r="B4" s="14" t="n">
        <v>100</v>
      </c>
    </row>
    <row r="5" customFormat="false" ht="15" hidden="false" customHeight="false" outlineLevel="0" collapsed="false">
      <c r="A5" s="6" t="s">
        <v>38</v>
      </c>
      <c r="B5" s="14" t="n">
        <v>6</v>
      </c>
    </row>
    <row r="6" customFormat="false" ht="15" hidden="false" customHeight="false" outlineLevel="0" collapsed="false">
      <c r="A6" s="6" t="s">
        <v>39</v>
      </c>
      <c r="B6" s="15" t="n">
        <v>0.19</v>
      </c>
    </row>
    <row r="7" customFormat="false" ht="15" hidden="false" customHeight="false" outlineLevel="0" collapsed="false">
      <c r="A7" s="6" t="s">
        <v>40</v>
      </c>
      <c r="B7" s="15" t="n">
        <v>0.4</v>
      </c>
    </row>
    <row r="8" customFormat="false" ht="15" hidden="false" customHeight="false" outlineLevel="0" collapsed="false">
      <c r="A8" s="6" t="s">
        <v>41</v>
      </c>
      <c r="B8" s="15" t="n">
        <v>1</v>
      </c>
    </row>
    <row r="9" customFormat="false" ht="15" hidden="false" customHeight="false" outlineLevel="0" collapsed="false">
      <c r="A9" s="6" t="s">
        <v>42</v>
      </c>
      <c r="B9" s="14" t="n">
        <v>8</v>
      </c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</row>
    <row r="12" customFormat="false" ht="15" hidden="false" customHeight="false" outlineLevel="0" collapsed="false">
      <c r="A12" s="6" t="s">
        <v>48</v>
      </c>
      <c r="B12" s="16" t="n">
        <f aca="false">$B$4</f>
        <v>100</v>
      </c>
      <c r="C12" s="16" t="n">
        <f aca="false">$B$5</f>
        <v>6</v>
      </c>
      <c r="D12" s="16" t="n">
        <f aca="false">B12*$B$6</f>
        <v>19</v>
      </c>
      <c r="E12" s="17" t="n">
        <f aca="false">B12+C12+D12</f>
        <v>125</v>
      </c>
    </row>
    <row r="13" customFormat="false" ht="15" hidden="false" customHeight="false" outlineLevel="0" collapsed="false">
      <c r="A13" s="6" t="s">
        <v>49</v>
      </c>
      <c r="B13" s="16" t="n">
        <f aca="false">$B$4</f>
        <v>100</v>
      </c>
      <c r="C13" s="16" t="n">
        <f aca="false">$B$5</f>
        <v>6</v>
      </c>
      <c r="D13" s="16" t="n">
        <f aca="false">B13*$B$7</f>
        <v>40</v>
      </c>
      <c r="E13" s="17" t="n">
        <f aca="false">B13+C13+D13</f>
        <v>146</v>
      </c>
    </row>
    <row r="14" customFormat="false" ht="15" hidden="false" customHeight="false" outlineLevel="0" collapsed="false">
      <c r="A14" s="6" t="s">
        <v>50</v>
      </c>
      <c r="B14" s="16" t="n">
        <f aca="false">$B$4</f>
        <v>100</v>
      </c>
      <c r="C14" s="16" t="n">
        <f aca="false">$B$5</f>
        <v>6</v>
      </c>
      <c r="D14" s="16" t="n">
        <f aca="false">B14*($B$6+$B$8)</f>
        <v>119</v>
      </c>
      <c r="E14" s="17" t="n">
        <f aca="false">B14+C14+D14</f>
        <v>225</v>
      </c>
    </row>
    <row r="15" customFormat="false" ht="15" hidden="false" customHeight="false" outlineLevel="0" collapsed="false">
      <c r="A15" s="6" t="s">
        <v>51</v>
      </c>
      <c r="B15" s="16" t="n">
        <f aca="false">$B$4+$B$9</f>
        <v>108</v>
      </c>
      <c r="C15" s="16" t="n">
        <f aca="false">$B$5</f>
        <v>6</v>
      </c>
      <c r="D15" s="16" t="n">
        <f aca="false">B15*$B$6</f>
        <v>20.52</v>
      </c>
      <c r="E15" s="17" t="n">
        <f aca="false">B15+C15+D15</f>
        <v>134.52</v>
      </c>
    </row>
    <row r="18" customFormat="false" ht="15" hidden="false" customHeight="false" outlineLevel="0" collapsed="false">
      <c r="A18" s="3" t="s">
        <v>52</v>
      </c>
    </row>
    <row r="19" customFormat="false" ht="15" hidden="false" customHeight="false" outlineLevel="0" collapsed="false">
      <c r="A19" s="0" t="s">
        <v>53</v>
      </c>
      <c r="B19" s="18" t="n">
        <f aca="false">(E15-E12)/(E13-E12)</f>
        <v>0.453333333333334</v>
      </c>
    </row>
    <row r="20" customFormat="false" ht="15" hidden="false" customHeight="false" outlineLevel="0" collapsed="false">
      <c r="A20" s="0" t="s">
        <v>54</v>
      </c>
      <c r="B20" s="18" t="n">
        <f aca="false">(E15-E12)/(E14-E12)</f>
        <v>0.0952000000000001</v>
      </c>
    </row>
    <row r="22" customFormat="false" ht="15" hidden="false" customHeight="false" outlineLevel="0" collapsed="false">
      <c r="A22" s="3" t="s">
        <v>55</v>
      </c>
    </row>
    <row r="23" customFormat="false" ht="45" hidden="false" customHeight="true" outlineLevel="0" collapsed="false">
      <c r="A23" s="5" t="s">
        <v>56</v>
      </c>
      <c r="B23" s="5" t="s">
        <v>57</v>
      </c>
      <c r="C23" s="5" t="s">
        <v>58</v>
      </c>
      <c r="D23" s="5" t="s">
        <v>59</v>
      </c>
    </row>
    <row r="24" customFormat="false" ht="15" hidden="false" customHeight="false" outlineLevel="0" collapsed="false">
      <c r="A24" s="19" t="n">
        <v>0</v>
      </c>
      <c r="B24" s="16" t="n">
        <f aca="false">$E$12+A24*($E$13-$E$12)</f>
        <v>125</v>
      </c>
      <c r="C24" s="16" t="n">
        <f aca="false">$E$12+A24*($E$14-$E$12)</f>
        <v>125</v>
      </c>
      <c r="D24" s="16" t="n">
        <f aca="false">$E$15</f>
        <v>134.52</v>
      </c>
    </row>
    <row r="25" customFormat="false" ht="15" hidden="false" customHeight="false" outlineLevel="0" collapsed="false">
      <c r="A25" s="19" t="n">
        <v>0.1</v>
      </c>
      <c r="B25" s="16" t="n">
        <f aca="false">$E$12+A25*($E$13-$E$12)</f>
        <v>127.1</v>
      </c>
      <c r="C25" s="16" t="n">
        <f aca="false">$E$12+A25*($E$14-$E$12)</f>
        <v>135</v>
      </c>
      <c r="D25" s="16" t="n">
        <f aca="false">$E$15</f>
        <v>134.52</v>
      </c>
    </row>
    <row r="26" customFormat="false" ht="15" hidden="false" customHeight="false" outlineLevel="0" collapsed="false">
      <c r="A26" s="19" t="n">
        <v>0.2</v>
      </c>
      <c r="B26" s="16" t="n">
        <f aca="false">$E$12+A26*($E$13-$E$12)</f>
        <v>129.2</v>
      </c>
      <c r="C26" s="16" t="n">
        <f aca="false">$E$12+A26*($E$14-$E$12)</f>
        <v>145</v>
      </c>
      <c r="D26" s="16" t="n">
        <f aca="false">$E$15</f>
        <v>134.52</v>
      </c>
    </row>
    <row r="27" customFormat="false" ht="15" hidden="false" customHeight="false" outlineLevel="0" collapsed="false">
      <c r="A27" s="19" t="n">
        <v>0.3</v>
      </c>
      <c r="B27" s="16" t="n">
        <f aca="false">$E$12+A27*($E$13-$E$12)</f>
        <v>131.3</v>
      </c>
      <c r="C27" s="16" t="n">
        <f aca="false">$E$12+A27*($E$14-$E$12)</f>
        <v>155</v>
      </c>
      <c r="D27" s="16" t="n">
        <f aca="false">$E$15</f>
        <v>134.52</v>
      </c>
    </row>
    <row r="28" customFormat="false" ht="15" hidden="false" customHeight="false" outlineLevel="0" collapsed="false">
      <c r="A28" s="19" t="n">
        <v>0.4</v>
      </c>
      <c r="B28" s="16" t="n">
        <f aca="false">$E$12+A28*($E$13-$E$12)</f>
        <v>133.4</v>
      </c>
      <c r="C28" s="16" t="n">
        <f aca="false">$E$12+A28*($E$14-$E$12)</f>
        <v>165</v>
      </c>
      <c r="D28" s="16" t="n">
        <f aca="false">$E$15</f>
        <v>134.52</v>
      </c>
    </row>
    <row r="29" customFormat="false" ht="15" hidden="false" customHeight="false" outlineLevel="0" collapsed="false">
      <c r="A29" s="19" t="n">
        <v>0.5</v>
      </c>
      <c r="B29" s="16" t="n">
        <f aca="false">$E$12+A29*($E$13-$E$12)</f>
        <v>135.5</v>
      </c>
      <c r="C29" s="16" t="n">
        <f aca="false">$E$12+A29*($E$14-$E$12)</f>
        <v>175</v>
      </c>
      <c r="D29" s="16" t="n">
        <f aca="false">$E$15</f>
        <v>134.52</v>
      </c>
    </row>
    <row r="30" customFormat="false" ht="15" hidden="false" customHeight="false" outlineLevel="0" collapsed="false">
      <c r="A30" s="19" t="n">
        <v>0.6</v>
      </c>
      <c r="B30" s="16" t="n">
        <f aca="false">$E$12+A30*($E$13-$E$12)</f>
        <v>137.6</v>
      </c>
      <c r="C30" s="16" t="n">
        <f aca="false">$E$12+A30*($E$14-$E$12)</f>
        <v>185</v>
      </c>
      <c r="D30" s="16" t="n">
        <f aca="false">$E$15</f>
        <v>134.52</v>
      </c>
    </row>
    <row r="31" customFormat="false" ht="15" hidden="false" customHeight="false" outlineLevel="0" collapsed="false">
      <c r="A31" s="19" t="n">
        <v>0.7</v>
      </c>
      <c r="B31" s="16" t="n">
        <f aca="false">$E$12+A31*($E$13-$E$12)</f>
        <v>139.7</v>
      </c>
      <c r="C31" s="16" t="n">
        <f aca="false">$E$12+A31*($E$14-$E$12)</f>
        <v>195</v>
      </c>
      <c r="D31" s="16" t="n">
        <f aca="false">$E$15</f>
        <v>134.52</v>
      </c>
    </row>
    <row r="32" customFormat="false" ht="15" hidden="false" customHeight="false" outlineLevel="0" collapsed="false">
      <c r="A32" s="19" t="n">
        <v>0.8</v>
      </c>
      <c r="B32" s="16" t="n">
        <f aca="false">$E$12+A32*($E$13-$E$12)</f>
        <v>141.8</v>
      </c>
      <c r="C32" s="16" t="n">
        <f aca="false">$E$12+A32*($E$14-$E$12)</f>
        <v>205</v>
      </c>
      <c r="D32" s="16" t="n">
        <f aca="false">$E$15</f>
        <v>134.52</v>
      </c>
    </row>
    <row r="33" customFormat="false" ht="15" hidden="false" customHeight="false" outlineLevel="0" collapsed="false">
      <c r="A33" s="19" t="n">
        <v>0.9</v>
      </c>
      <c r="B33" s="16" t="n">
        <f aca="false">$E$12+A33*($E$13-$E$12)</f>
        <v>143.9</v>
      </c>
      <c r="C33" s="16" t="n">
        <f aca="false">$E$12+A33*($E$14-$E$12)</f>
        <v>215</v>
      </c>
      <c r="D33" s="16" t="n">
        <f aca="false">$E$15</f>
        <v>134.52</v>
      </c>
    </row>
    <row r="34" customFormat="false" ht="15" hidden="false" customHeight="false" outlineLevel="0" collapsed="false">
      <c r="A34" s="19" t="n">
        <v>1</v>
      </c>
      <c r="B34" s="16" t="n">
        <f aca="false">$E$12+A34*($E$13-$E$12)</f>
        <v>146</v>
      </c>
      <c r="C34" s="16" t="n">
        <f aca="false">$E$12+A34*($E$14-$E$12)</f>
        <v>225</v>
      </c>
      <c r="D34" s="16" t="n">
        <f aca="false">$E$15</f>
        <v>134.52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5" t="s">
        <v>35</v>
      </c>
      <c r="B3" s="5" t="s">
        <v>36</v>
      </c>
    </row>
    <row r="4" customFormat="false" ht="15" hidden="false" customHeight="false" outlineLevel="0" collapsed="false">
      <c r="A4" s="6" t="s">
        <v>61</v>
      </c>
      <c r="B4" s="20" t="n">
        <v>100</v>
      </c>
    </row>
    <row r="5" customFormat="false" ht="15" hidden="false" customHeight="false" outlineLevel="0" collapsed="false">
      <c r="A5" s="6" t="s">
        <v>62</v>
      </c>
      <c r="B5" s="19" t="n">
        <v>0.9</v>
      </c>
    </row>
    <row r="6" customFormat="false" ht="15" hidden="false" customHeight="false" outlineLevel="0" collapsed="false">
      <c r="A6" s="6" t="s">
        <v>63</v>
      </c>
      <c r="B6" s="20" t="n">
        <v>30</v>
      </c>
    </row>
    <row r="7" customFormat="false" ht="15" hidden="false" customHeight="false" outlineLevel="0" collapsed="false">
      <c r="A7" s="6" t="s">
        <v>64</v>
      </c>
      <c r="B7" s="21" t="n">
        <v>20000</v>
      </c>
    </row>
    <row r="9" customFormat="false" ht="15" hidden="false" customHeight="false" outlineLevel="0" collapsed="false">
      <c r="A9" s="0" t="s">
        <v>65</v>
      </c>
      <c r="B9" s="22" t="n">
        <f aca="false">LN(B5)/LN(2)</f>
        <v>-0.15200309344505</v>
      </c>
    </row>
    <row r="10" customFormat="false" ht="15" hidden="false" customHeight="false" outlineLevel="0" collapsed="false">
      <c r="A10" s="0" t="s">
        <v>66</v>
      </c>
      <c r="B10" s="23" t="n">
        <f aca="false">(B6/B4)^(1/B9)</f>
        <v>2753.73241814689</v>
      </c>
    </row>
    <row r="11" customFormat="false" ht="15" hidden="false" customHeight="false" outlineLevel="0" collapsed="false">
      <c r="A11" s="0" t="s">
        <v>67</v>
      </c>
      <c r="B11" s="9" t="n">
        <f aca="false">B10/(B7/12)</f>
        <v>1.65223945088813</v>
      </c>
    </row>
    <row r="12" customFormat="false" ht="15" hidden="false" customHeight="false" outlineLevel="0" collapsed="false">
      <c r="A12" s="0" t="s">
        <v>68</v>
      </c>
      <c r="B12" s="24" t="n">
        <f aca="false">$B$4*1000^$B$9</f>
        <v>34.9937689213485</v>
      </c>
    </row>
    <row r="13" customFormat="false" ht="15" hidden="false" customHeight="false" outlineLevel="0" collapsed="false">
      <c r="A13" s="0" t="s">
        <v>69</v>
      </c>
      <c r="B13" s="24" t="n">
        <f aca="false">$B$4*10000^$B$9</f>
        <v>24.6596907662708</v>
      </c>
    </row>
    <row r="15" customFormat="false" ht="26.85" hidden="false" customHeight="false" outlineLevel="0" collapsed="false">
      <c r="A15" s="5" t="s">
        <v>70</v>
      </c>
      <c r="B15" s="5" t="s">
        <v>71</v>
      </c>
      <c r="C15" s="5" t="s">
        <v>72</v>
      </c>
    </row>
    <row r="16" customFormat="false" ht="15" hidden="false" customHeight="false" outlineLevel="0" collapsed="false">
      <c r="A16" s="21" t="n">
        <v>1</v>
      </c>
      <c r="B16" s="25" t="n">
        <f aca="false">$B$4*A16^$B$9</f>
        <v>100</v>
      </c>
      <c r="C16" s="6" t="str">
        <f aca="false">IF(B16&lt;=$B$6,"Yes","No")</f>
        <v>No</v>
      </c>
    </row>
    <row r="17" customFormat="false" ht="15" hidden="false" customHeight="false" outlineLevel="0" collapsed="false">
      <c r="A17" s="21" t="n">
        <v>2</v>
      </c>
      <c r="B17" s="25" t="n">
        <f aca="false">$B$4*A17^$B$9</f>
        <v>90</v>
      </c>
      <c r="C17" s="6" t="str">
        <f aca="false">IF(B17&lt;=$B$6,"Yes","No")</f>
        <v>No</v>
      </c>
    </row>
    <row r="18" customFormat="false" ht="15" hidden="false" customHeight="false" outlineLevel="0" collapsed="false">
      <c r="A18" s="21" t="n">
        <v>4</v>
      </c>
      <c r="B18" s="25" t="n">
        <f aca="false">$B$4*A18^$B$9</f>
        <v>81</v>
      </c>
      <c r="C18" s="6" t="str">
        <f aca="false">IF(B18&lt;=$B$6,"Yes","No")</f>
        <v>No</v>
      </c>
    </row>
    <row r="19" customFormat="false" ht="15" hidden="false" customHeight="false" outlineLevel="0" collapsed="false">
      <c r="A19" s="21" t="n">
        <v>8</v>
      </c>
      <c r="B19" s="25" t="n">
        <f aca="false">$B$4*A19^$B$9</f>
        <v>72.9</v>
      </c>
      <c r="C19" s="6" t="str">
        <f aca="false">IF(B19&lt;=$B$6,"Yes","No")</f>
        <v>No</v>
      </c>
    </row>
    <row r="20" customFormat="false" ht="15" hidden="false" customHeight="false" outlineLevel="0" collapsed="false">
      <c r="A20" s="21" t="n">
        <v>16</v>
      </c>
      <c r="B20" s="25" t="n">
        <f aca="false">$B$4*A20^$B$9</f>
        <v>65.61</v>
      </c>
      <c r="C20" s="6" t="str">
        <f aca="false">IF(B20&lt;=$B$6,"Yes","No")</f>
        <v>No</v>
      </c>
    </row>
    <row r="21" customFormat="false" ht="15" hidden="false" customHeight="false" outlineLevel="0" collapsed="false">
      <c r="A21" s="21" t="n">
        <v>32</v>
      </c>
      <c r="B21" s="25" t="n">
        <f aca="false">$B$4*A21^$B$9</f>
        <v>59.049</v>
      </c>
      <c r="C21" s="6" t="str">
        <f aca="false">IF(B21&lt;=$B$6,"Yes","No")</f>
        <v>No</v>
      </c>
    </row>
    <row r="22" customFormat="false" ht="15" hidden="false" customHeight="false" outlineLevel="0" collapsed="false">
      <c r="A22" s="21" t="n">
        <v>64</v>
      </c>
      <c r="B22" s="25" t="n">
        <f aca="false">$B$4*A22^$B$9</f>
        <v>53.1441</v>
      </c>
      <c r="C22" s="6" t="str">
        <f aca="false">IF(B22&lt;=$B$6,"Yes","No")</f>
        <v>No</v>
      </c>
    </row>
    <row r="23" customFormat="false" ht="15" hidden="false" customHeight="false" outlineLevel="0" collapsed="false">
      <c r="A23" s="21" t="n">
        <v>128</v>
      </c>
      <c r="B23" s="25" t="n">
        <f aca="false">$B$4*A23^$B$9</f>
        <v>47.82969</v>
      </c>
      <c r="C23" s="6" t="str">
        <f aca="false">IF(B23&lt;=$B$6,"Yes","No")</f>
        <v>No</v>
      </c>
    </row>
    <row r="24" customFormat="false" ht="15" hidden="false" customHeight="false" outlineLevel="0" collapsed="false">
      <c r="A24" s="21" t="n">
        <v>256</v>
      </c>
      <c r="B24" s="25" t="n">
        <f aca="false">$B$4*A24^$B$9</f>
        <v>43.046721</v>
      </c>
      <c r="C24" s="6" t="str">
        <f aca="false">IF(B24&lt;=$B$6,"Yes","No")</f>
        <v>No</v>
      </c>
    </row>
    <row r="25" customFormat="false" ht="15" hidden="false" customHeight="false" outlineLevel="0" collapsed="false">
      <c r="A25" s="21" t="n">
        <v>512</v>
      </c>
      <c r="B25" s="25" t="n">
        <f aca="false">$B$4*A25^$B$9</f>
        <v>38.7420489</v>
      </c>
      <c r="C25" s="6" t="str">
        <f aca="false">IF(B25&lt;=$B$6,"Yes","No")</f>
        <v>No</v>
      </c>
    </row>
    <row r="26" customFormat="false" ht="15" hidden="false" customHeight="false" outlineLevel="0" collapsed="false">
      <c r="A26" s="21" t="n">
        <v>1024</v>
      </c>
      <c r="B26" s="25" t="n">
        <f aca="false">$B$4*A26^$B$9</f>
        <v>34.86784401</v>
      </c>
      <c r="C26" s="6" t="str">
        <f aca="false">IF(B26&lt;=$B$6,"Yes","No")</f>
        <v>No</v>
      </c>
    </row>
    <row r="27" customFormat="false" ht="15" hidden="false" customHeight="false" outlineLevel="0" collapsed="false">
      <c r="A27" s="21" t="n">
        <v>2048</v>
      </c>
      <c r="B27" s="25" t="n">
        <f aca="false">$B$4*A27^$B$9</f>
        <v>31.381059609</v>
      </c>
      <c r="C27" s="6" t="str">
        <f aca="false">IF(B27&lt;=$B$6,"Yes","No")</f>
        <v>No</v>
      </c>
    </row>
    <row r="28" customFormat="false" ht="15" hidden="false" customHeight="false" outlineLevel="0" collapsed="false">
      <c r="A28" s="21" t="n">
        <v>4096</v>
      </c>
      <c r="B28" s="25" t="n">
        <f aca="false">$B$4*A28^$B$9</f>
        <v>28.2429536481</v>
      </c>
      <c r="C28" s="6" t="str">
        <f aca="false">IF(B28&lt;=$B$6,"Yes","No")</f>
        <v>Yes</v>
      </c>
    </row>
    <row r="29" customFormat="false" ht="15" hidden="false" customHeight="false" outlineLevel="0" collapsed="false">
      <c r="A29" s="21" t="n">
        <v>8192</v>
      </c>
      <c r="B29" s="25" t="n">
        <f aca="false">$B$4*A29^$B$9</f>
        <v>25.41865828329</v>
      </c>
      <c r="C29" s="6" t="str">
        <f aca="false">IF(B29&lt;=$B$6,"Yes","No")</f>
        <v>Yes</v>
      </c>
    </row>
    <row r="31" customFormat="false" ht="15" hidden="false" customHeight="false" outlineLevel="0" collapsed="false">
      <c r="A31" s="1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5" t="s">
        <v>35</v>
      </c>
      <c r="B3" s="5" t="s">
        <v>36</v>
      </c>
    </row>
    <row r="4" customFormat="false" ht="15" hidden="false" customHeight="false" outlineLevel="0" collapsed="false">
      <c r="A4" s="6" t="s">
        <v>75</v>
      </c>
      <c r="B4" s="21" t="n">
        <v>1800000000</v>
      </c>
    </row>
    <row r="5" customFormat="false" ht="15" hidden="false" customHeight="false" outlineLevel="0" collapsed="false">
      <c r="A5" s="6" t="s">
        <v>76</v>
      </c>
      <c r="B5" s="21" t="n">
        <v>6000</v>
      </c>
    </row>
    <row r="6" customFormat="false" ht="15" hidden="false" customHeight="false" outlineLevel="0" collapsed="false">
      <c r="A6" s="6" t="s">
        <v>77</v>
      </c>
      <c r="B6" s="21" t="n">
        <v>500000</v>
      </c>
    </row>
    <row r="7" customFormat="false" ht="15" hidden="false" customHeight="false" outlineLevel="0" collapsed="false">
      <c r="A7" s="6" t="s">
        <v>78</v>
      </c>
      <c r="B7" s="21" t="n">
        <v>815000</v>
      </c>
    </row>
    <row r="8" customFormat="false" ht="15" hidden="false" customHeight="false" outlineLevel="0" collapsed="false">
      <c r="A8" s="6" t="s">
        <v>79</v>
      </c>
      <c r="B8" s="21" t="n">
        <v>6000</v>
      </c>
    </row>
    <row r="9" customFormat="false" ht="15" hidden="false" customHeight="false" outlineLevel="0" collapsed="false">
      <c r="A9" s="6" t="s">
        <v>80</v>
      </c>
      <c r="B9" s="15" t="n">
        <v>0.25</v>
      </c>
    </row>
    <row r="11" customFormat="false" ht="15" hidden="false" customHeight="false" outlineLevel="0" collapsed="false">
      <c r="A11" s="0" t="s">
        <v>81</v>
      </c>
      <c r="B11" s="23" t="n">
        <f aca="false">B4/B5</f>
        <v>300000</v>
      </c>
    </row>
    <row r="12" customFormat="false" ht="15" hidden="false" customHeight="false" outlineLevel="0" collapsed="false">
      <c r="A12" s="0" t="s">
        <v>82</v>
      </c>
      <c r="B12" s="18" t="n">
        <f aca="false">B11/B6</f>
        <v>0.6</v>
      </c>
    </row>
    <row r="13" customFormat="false" ht="15" hidden="false" customHeight="false" outlineLevel="0" collapsed="false">
      <c r="A13" s="0" t="s">
        <v>83</v>
      </c>
      <c r="B13" s="23" t="n">
        <f aca="false">B7*B9</f>
        <v>203750</v>
      </c>
    </row>
    <row r="14" customFormat="false" ht="15" hidden="false" customHeight="false" outlineLevel="0" collapsed="false">
      <c r="A14" s="0" t="s">
        <v>84</v>
      </c>
      <c r="B14" s="23" t="n">
        <f aca="false">MAX(0,B11-B13)</f>
        <v>96250</v>
      </c>
    </row>
    <row r="15" customFormat="false" ht="15" hidden="false" customHeight="false" outlineLevel="0" collapsed="false">
      <c r="A15" s="0" t="s">
        <v>85</v>
      </c>
      <c r="B15" s="26" t="n">
        <f aca="false">IF(B8&gt;0,B14/B8,0)</f>
        <v>16.0416666666667</v>
      </c>
    </row>
    <row r="17" customFormat="false" ht="15" hidden="false" customHeight="false" outlineLevel="0" collapsed="false">
      <c r="A17" s="5" t="s">
        <v>86</v>
      </c>
      <c r="B17" s="5" t="s">
        <v>87</v>
      </c>
      <c r="C17" s="5" t="s">
        <v>88</v>
      </c>
      <c r="D17" s="5" t="s">
        <v>89</v>
      </c>
    </row>
    <row r="18" customFormat="false" ht="15" hidden="false" customHeight="false" outlineLevel="0" collapsed="false">
      <c r="A18" s="19" t="n">
        <v>0.15</v>
      </c>
      <c r="B18" s="27" t="n">
        <f aca="false">$B$7*A18</f>
        <v>122250</v>
      </c>
      <c r="C18" s="27" t="n">
        <f aca="false">MAX(0,$B$11-B18)</f>
        <v>177750</v>
      </c>
      <c r="D18" s="28" t="n">
        <f aca="false">IF($B$8&gt;0,C18/$B$8,0)</f>
        <v>29.625</v>
      </c>
    </row>
    <row r="19" customFormat="false" ht="15" hidden="false" customHeight="false" outlineLevel="0" collapsed="false">
      <c r="A19" s="19" t="n">
        <v>0.16</v>
      </c>
      <c r="B19" s="27" t="n">
        <f aca="false">$B$7*A19</f>
        <v>130400</v>
      </c>
      <c r="C19" s="27" t="n">
        <f aca="false">MAX(0,$B$11-B19)</f>
        <v>169600</v>
      </c>
      <c r="D19" s="28" t="n">
        <f aca="false">IF($B$8&gt;0,C19/$B$8,0)</f>
        <v>28.2666666666667</v>
      </c>
    </row>
    <row r="20" customFormat="false" ht="15" hidden="false" customHeight="false" outlineLevel="0" collapsed="false">
      <c r="A20" s="19" t="n">
        <v>0.17</v>
      </c>
      <c r="B20" s="27" t="n">
        <f aca="false">$B$7*A20</f>
        <v>138550</v>
      </c>
      <c r="C20" s="27" t="n">
        <f aca="false">MAX(0,$B$11-B20)</f>
        <v>161450</v>
      </c>
      <c r="D20" s="28" t="n">
        <f aca="false">IF($B$8&gt;0,C20/$B$8,0)</f>
        <v>26.9083333333333</v>
      </c>
    </row>
    <row r="21" customFormat="false" ht="15" hidden="false" customHeight="false" outlineLevel="0" collapsed="false">
      <c r="A21" s="19" t="n">
        <v>0.18</v>
      </c>
      <c r="B21" s="27" t="n">
        <f aca="false">$B$7*A21</f>
        <v>146700</v>
      </c>
      <c r="C21" s="27" t="n">
        <f aca="false">MAX(0,$B$11-B21)</f>
        <v>153300</v>
      </c>
      <c r="D21" s="28" t="n">
        <f aca="false">IF($B$8&gt;0,C21/$B$8,0)</f>
        <v>25.55</v>
      </c>
    </row>
    <row r="22" customFormat="false" ht="15" hidden="false" customHeight="false" outlineLevel="0" collapsed="false">
      <c r="A22" s="19" t="n">
        <v>0.19</v>
      </c>
      <c r="B22" s="27" t="n">
        <f aca="false">$B$7*A22</f>
        <v>154850</v>
      </c>
      <c r="C22" s="27" t="n">
        <f aca="false">MAX(0,$B$11-B22)</f>
        <v>145150</v>
      </c>
      <c r="D22" s="28" t="n">
        <f aca="false">IF($B$8&gt;0,C22/$B$8,0)</f>
        <v>24.1916666666667</v>
      </c>
    </row>
    <row r="23" customFormat="false" ht="15" hidden="false" customHeight="false" outlineLevel="0" collapsed="false">
      <c r="A23" s="19" t="n">
        <v>0.2</v>
      </c>
      <c r="B23" s="27" t="n">
        <f aca="false">$B$7*A23</f>
        <v>163000</v>
      </c>
      <c r="C23" s="27" t="n">
        <f aca="false">MAX(0,$B$11-B23)</f>
        <v>137000</v>
      </c>
      <c r="D23" s="28" t="n">
        <f aca="false">IF($B$8&gt;0,C23/$B$8,0)</f>
        <v>22.8333333333333</v>
      </c>
    </row>
    <row r="24" customFormat="false" ht="15" hidden="false" customHeight="false" outlineLevel="0" collapsed="false">
      <c r="A24" s="19" t="n">
        <v>0.21</v>
      </c>
      <c r="B24" s="27" t="n">
        <f aca="false">$B$7*A24</f>
        <v>171150</v>
      </c>
      <c r="C24" s="27" t="n">
        <f aca="false">MAX(0,$B$11-B24)</f>
        <v>128850</v>
      </c>
      <c r="D24" s="28" t="n">
        <f aca="false">IF($B$8&gt;0,C24/$B$8,0)</f>
        <v>21.475</v>
      </c>
    </row>
    <row r="25" customFormat="false" ht="15" hidden="false" customHeight="false" outlineLevel="0" collapsed="false">
      <c r="A25" s="19" t="n">
        <v>0.22</v>
      </c>
      <c r="B25" s="27" t="n">
        <f aca="false">$B$7*A25</f>
        <v>179300</v>
      </c>
      <c r="C25" s="27" t="n">
        <f aca="false">MAX(0,$B$11-B25)</f>
        <v>120700</v>
      </c>
      <c r="D25" s="28" t="n">
        <f aca="false">IF($B$8&gt;0,C25/$B$8,0)</f>
        <v>20.1166666666667</v>
      </c>
    </row>
    <row r="26" customFormat="false" ht="15" hidden="false" customHeight="false" outlineLevel="0" collapsed="false">
      <c r="A26" s="19" t="n">
        <v>0.23</v>
      </c>
      <c r="B26" s="27" t="n">
        <f aca="false">$B$7*A26</f>
        <v>187450</v>
      </c>
      <c r="C26" s="27" t="n">
        <f aca="false">MAX(0,$B$11-B26)</f>
        <v>112550</v>
      </c>
      <c r="D26" s="28" t="n">
        <f aca="false">IF($B$8&gt;0,C26/$B$8,0)</f>
        <v>18.7583333333333</v>
      </c>
    </row>
    <row r="27" customFormat="false" ht="15" hidden="false" customHeight="false" outlineLevel="0" collapsed="false">
      <c r="A27" s="19" t="n">
        <v>0.24</v>
      </c>
      <c r="B27" s="27" t="n">
        <f aca="false">$B$7*A27</f>
        <v>195600</v>
      </c>
      <c r="C27" s="27" t="n">
        <f aca="false">MAX(0,$B$11-B27)</f>
        <v>104400</v>
      </c>
      <c r="D27" s="28" t="n">
        <f aca="false">IF($B$8&gt;0,C27/$B$8,0)</f>
        <v>17.4</v>
      </c>
    </row>
    <row r="28" customFormat="false" ht="15" hidden="false" customHeight="false" outlineLevel="0" collapsed="false">
      <c r="A28" s="19" t="n">
        <v>0.25</v>
      </c>
      <c r="B28" s="27" t="n">
        <f aca="false">$B$7*A28</f>
        <v>203750</v>
      </c>
      <c r="C28" s="27" t="n">
        <f aca="false">MAX(0,$B$11-B28)</f>
        <v>96250</v>
      </c>
      <c r="D28" s="28" t="n">
        <f aca="false">IF($B$8&gt;0,C28/$B$8,0)</f>
        <v>16.0416666666667</v>
      </c>
    </row>
    <row r="29" customFormat="false" ht="15" hidden="false" customHeight="false" outlineLevel="0" collapsed="false">
      <c r="A29" s="19" t="n">
        <v>0.26</v>
      </c>
      <c r="B29" s="27" t="n">
        <f aca="false">$B$7*A29</f>
        <v>211900</v>
      </c>
      <c r="C29" s="27" t="n">
        <f aca="false">MAX(0,$B$11-B29)</f>
        <v>88100</v>
      </c>
      <c r="D29" s="28" t="n">
        <f aca="false">IF($B$8&gt;0,C29/$B$8,0)</f>
        <v>14.6833333333333</v>
      </c>
    </row>
    <row r="30" customFormat="false" ht="15" hidden="false" customHeight="false" outlineLevel="0" collapsed="false">
      <c r="A30" s="19" t="n">
        <v>0.27</v>
      </c>
      <c r="B30" s="27" t="n">
        <f aca="false">$B$7*A30</f>
        <v>220050</v>
      </c>
      <c r="C30" s="27" t="n">
        <f aca="false">MAX(0,$B$11-B30)</f>
        <v>79950</v>
      </c>
      <c r="D30" s="28" t="n">
        <f aca="false">IF($B$8&gt;0,C30/$B$8,0)</f>
        <v>13.325</v>
      </c>
    </row>
    <row r="31" customFormat="false" ht="15" hidden="false" customHeight="false" outlineLevel="0" collapsed="false">
      <c r="A31" s="19" t="n">
        <v>0.28</v>
      </c>
      <c r="B31" s="27" t="n">
        <f aca="false">$B$7*A31</f>
        <v>228200</v>
      </c>
      <c r="C31" s="27" t="n">
        <f aca="false">MAX(0,$B$11-B31)</f>
        <v>71800</v>
      </c>
      <c r="D31" s="28" t="n">
        <f aca="false">IF($B$8&gt;0,C31/$B$8,0)</f>
        <v>11.9666666666667</v>
      </c>
    </row>
    <row r="32" customFormat="false" ht="15" hidden="false" customHeight="false" outlineLevel="0" collapsed="false">
      <c r="A32" s="19" t="n">
        <v>0.29</v>
      </c>
      <c r="B32" s="27" t="n">
        <f aca="false">$B$7*A32</f>
        <v>236350</v>
      </c>
      <c r="C32" s="27" t="n">
        <f aca="false">MAX(0,$B$11-B32)</f>
        <v>63650</v>
      </c>
      <c r="D32" s="28" t="n">
        <f aca="false">IF($B$8&gt;0,C32/$B$8,0)</f>
        <v>10.6083333333333</v>
      </c>
    </row>
    <row r="33" customFormat="false" ht="15" hidden="false" customHeight="false" outlineLevel="0" collapsed="false">
      <c r="A33" s="19" t="n">
        <v>0.3</v>
      </c>
      <c r="B33" s="27" t="n">
        <f aca="false">$B$7*A33</f>
        <v>244500</v>
      </c>
      <c r="C33" s="27" t="n">
        <f aca="false">MAX(0,$B$11-B33)</f>
        <v>55500</v>
      </c>
      <c r="D33" s="28" t="n">
        <f aca="false">IF($B$8&gt;0,C33/$B$8,0)</f>
        <v>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2026-10-17T06:35:13Z</dcterms:created>
  <dc:creator>openpyxl</dc:creator>
  <dc:description/>
  <dc:language>en-US</dc:language>
  <cp:lastModifiedBy/>
  <dcterms:modified xsi:type="dcterms:W3CDTF">2026-10-17T06:35:13Z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